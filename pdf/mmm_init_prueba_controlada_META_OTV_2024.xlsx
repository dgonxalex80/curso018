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154c32541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a" sheetId="1" r:id="R85bc715cb785492f"/>
    <x:sheet xmlns:r="http://schemas.openxmlformats.org/officeDocument/2006/relationships" name="extra_features" sheetId="2" r:id="Rc2b5b5648d424068"/>
    <x:sheet xmlns:r="http://schemas.openxmlformats.org/officeDocument/2006/relationships" name="settings" sheetId="3" r:id="R70906869865043b5"/>
    <x:sheet xmlns:r="http://schemas.openxmlformats.org/officeDocument/2006/relationships" name="calibracion_experimental" sheetId="4" r:id="R7d58ee7bf8a5468a"/>
    <x:sheet xmlns:r="http://schemas.openxmlformats.org/officeDocument/2006/relationships" name="diagnostico_2024" sheetId="5" r:id="R8710d8886c8e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c50706a3047d2" /><Relationship Type="http://schemas.openxmlformats.org/officeDocument/2006/relationships/theme" Target="/xl/theme/theme1.xml" Id="R1cde13473ec94da8" /><Relationship Type="http://schemas.openxmlformats.org/officeDocument/2006/relationships/sharedStrings" Target="/xl/sharedStrings.xml" Id="R086384eec0324d0d" /><Relationship Type="http://schemas.openxmlformats.org/officeDocument/2006/relationships/worksheet" Target="/xl/worksheets/sheet1.xml" Id="R85bc715cb785492f" /><Relationship Type="http://schemas.openxmlformats.org/officeDocument/2006/relationships/worksheet" Target="/xl/worksheets/sheet2.xml" Id="Rc2b5b5648d424068" /><Relationship Type="http://schemas.openxmlformats.org/officeDocument/2006/relationships/worksheet" Target="/xl/worksheets/sheet3.xml" Id="R70906869865043b5" /><Relationship Type="http://schemas.openxmlformats.org/officeDocument/2006/relationships/worksheet" Target="/xl/worksheets/sheet4.xml" Id="R7d58ee7bf8a5468a" /><Relationship Type="http://schemas.openxmlformats.org/officeDocument/2006/relationships/worksheet" Target="/xl/worksheets/sheet5.xml" Id="R8710d8886c8e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media_vars</x:v>
      </x:c>
      <x:c r="B1" s="2" t="str">
        <x:v>media_cost_vars</x:v>
      </x:c>
      <x:c r="C1" s="2" t="str">
        <x:v>media_type</x:v>
      </x:c>
      <x:c r="D1" s="2" t="str">
        <x:v>media_name</x:v>
      </x:c>
      <x:c r="E1" s="2" t="str">
        <x:v>campaign_type</x:v>
      </x:c>
      <x:c r="F1" s="2" t="str">
        <x:v>media_priors</x:v>
      </x:c>
      <x:c r="G1" s="2" t="str">
        <x:v>adstock_decay</x:v>
      </x:c>
      <x:c r="H1" s="2" t="str">
        <x:v>s_slope</x:v>
      </x:c>
      <x:c r="I1" s="2" t="str">
        <x:v>k_half_saturation</x:v>
      </x:c>
      <x:c r="J1" s="2" t="str">
        <x:v>scale</x:v>
      </x:c>
      <x:c r="K1" s="2" t="str">
        <x:v>optuna</x:v>
      </x:c>
      <x:c r="L1" s="2" t="str">
        <x:v>suggested_k</x:v>
      </x:c>
    </x:row>
    <x:row r="2">
      <x:c r="A2" t="str">
        <x:v>GOOGLE Equity Impressions</x:v>
      </x:c>
      <x:c r="B2" t="str">
        <x:v>GOOGLE Equity Spend</x:v>
      </x:c>
      <x:c r="C2" t="str">
        <x:v>DIGITAL</x:v>
      </x:c>
      <x:c r="D2" t="str">
        <x:v>GOOGLE</x:v>
      </x:c>
      <x:c r="E2" t="str">
        <x:v>EQUITY</x:v>
      </x:c>
      <x:c r="F2" t="n">
        <x:v>0.04225</x:v>
      </x:c>
      <x:c r="G2" t="n">
        <x:v>0.2</x:v>
      </x:c>
      <x:c r="H2" t="n">
        <x:v>1.1</x:v>
      </x:c>
      <x:c r="I2" t="n">
        <x:v>1.5</x:v>
      </x:c>
      <x:c r="J2" t="n">
        <x:v>0.3</x:v>
      </x:c>
      <x:c r="K2" t="n">
        <x:v>1</x:v>
      </x:c>
      <x:c r="L2" t="n">
        <x:v>1.27783743886927</x:v>
      </x:c>
    </x:row>
    <x:row r="3">
      <x:c r="A3" t="str">
        <x:v>GOOGLE Tactical Impressions</x:v>
      </x:c>
      <x:c r="B3" t="str">
        <x:v>GOOGLE Tactical Spend</x:v>
      </x:c>
      <x:c r="C3" t="str">
        <x:v>DIGITAL</x:v>
      </x:c>
      <x:c r="D3" t="str">
        <x:v>GOOGLE</x:v>
      </x:c>
      <x:c r="E3" t="str">
        <x:v>TACTICAL</x:v>
      </x:c>
      <x:c r="F3" t="n">
        <x:v>3.08425</x:v>
      </x:c>
      <x:c r="G3" t="n">
        <x:v>0.2</x:v>
      </x:c>
      <x:c r="H3" t="n">
        <x:v>1.1</x:v>
      </x:c>
      <x:c r="I3" t="n">
        <x:v>1.1</x:v>
      </x:c>
      <x:c r="J3" t="n">
        <x:v>0.3</x:v>
      </x:c>
      <x:c r="K3" t="n">
        <x:v>1</x:v>
      </x:c>
      <x:c r="L3" t="n">
        <x:v>1.11039529411983</x:v>
      </x:c>
    </x:row>
    <x:row r="4">
      <x:c r="A4" t="str">
        <x:v>META Equity Impressions</x:v>
      </x:c>
      <x:c r="B4" t="str">
        <x:v>META Equity Spend</x:v>
      </x:c>
      <x:c r="C4" t="str">
        <x:v>DIGITAL</x:v>
      </x:c>
      <x:c r="D4" t="str">
        <x:v>META</x:v>
      </x:c>
      <x:c r="E4" t="str">
        <x:v>EQUITY</x:v>
      </x:c>
      <x:c r="F4" t="n">
        <x:v>19.44</x:v>
      </x:c>
      <x:c r="G4" t="n">
        <x:v>0.38</x:v>
      </x:c>
      <x:c r="H4" t="n">
        <x:v>1.2</x:v>
      </x:c>
      <x:c r="I4" t="n">
        <x:v>1.7</x:v>
      </x:c>
      <x:c r="J4" t="n">
        <x:v>0.3</x:v>
      </x:c>
      <x:c r="K4" t="n">
        <x:v>1</x:v>
      </x:c>
      <x:c r="L4" t="n">
        <x:v>1.53334428013788</x:v>
      </x:c>
    </x:row>
    <x:row r="5">
      <x:c r="A5" t="str">
        <x:v>META Tactical Impressions</x:v>
      </x:c>
      <x:c r="B5" t="str">
        <x:v>META Tactical Spend</x:v>
      </x:c>
      <x:c r="C5" t="str">
        <x:v>DIGITAL</x:v>
      </x:c>
      <x:c r="D5" t="str">
        <x:v>META</x:v>
      </x:c>
      <x:c r="E5" t="str">
        <x:v>TACTICAL</x:v>
      </x:c>
      <x:c r="F5" t="n">
        <x:v>186.624</x:v>
      </x:c>
      <x:c r="G5" t="n">
        <x:v>0.28</x:v>
      </x:c>
      <x:c r="H5" t="n">
        <x:v>1.3</x:v>
      </x:c>
      <x:c r="I5" t="n">
        <x:v>1.02</x:v>
      </x:c>
      <x:c r="J5" t="n">
        <x:v>0.3</x:v>
      </x:c>
      <x:c r="K5" t="n">
        <x:v>1</x:v>
      </x:c>
      <x:c r="L5" t="n">
        <x:v>1.07160043021966</x:v>
      </x:c>
    </x:row>
    <x:row r="6">
      <x:c r="A6" t="str">
        <x:v>OTROS Equity Impressions</x:v>
      </x:c>
      <x:c r="B6" t="str">
        <x:v>OTROS Equity Spend</x:v>
      </x:c>
      <x:c r="C6" t="str">
        <x:v>DIGITAL</x:v>
      </x:c>
      <x:c r="D6" t="str">
        <x:v>OTROS</x:v>
      </x:c>
      <x:c r="E6" t="str">
        <x:v>EQUITY</x:v>
      </x:c>
      <x:c r="F6" t="n">
        <x:v>0.06</x:v>
      </x:c>
      <x:c r="G6" t="n">
        <x:v>0.25</x:v>
      </x:c>
      <x:c r="H6" t="n">
        <x:v>1.2</x:v>
      </x:c>
      <x:c r="I6" t="n">
        <x:v>1.1</x:v>
      </x:c>
      <x:c r="J6" t="n">
        <x:v>0.3</x:v>
      </x:c>
      <x:c r="K6" t="n">
        <x:v>1</x:v>
      </x:c>
      <x:c r="L6" t="n">
        <x:v>1.11135042932724</x:v>
      </x:c>
    </x:row>
    <x:row r="7">
      <x:c r="A7" t="str">
        <x:v>OTROS Tactical Impressions</x:v>
      </x:c>
      <x:c r="B7" t="str">
        <x:v>OTROS Tactical Spend</x:v>
      </x:c>
      <x:c r="C7" t="str">
        <x:v>DIGITAL</x:v>
      </x:c>
      <x:c r="D7" t="str">
        <x:v>OTROS</x:v>
      </x:c>
      <x:c r="E7" t="str">
        <x:v>TACTICAL</x:v>
      </x:c>
      <x:c r="F7" t="n">
        <x:v>0.24</x:v>
      </x:c>
      <x:c r="G7" t="n">
        <x:v>0.2</x:v>
      </x:c>
      <x:c r="H7" t="n">
        <x:v>1.2</x:v>
      </x:c>
      <x:c r="I7" t="n">
        <x:v>1.22</x:v>
      </x:c>
      <x:c r="J7" t="n">
        <x:v>0.3</x:v>
      </x:c>
      <x:c r="K7" t="n">
        <x:v>1</x:v>
      </x:c>
      <x:c r="L7" t="n">
        <x:v>1.21770989718853</x:v>
      </x:c>
    </x:row>
    <x:row r="8">
      <x:c r="A8" t="str">
        <x:v>OTV Equity TRPs</x:v>
      </x:c>
      <x:c r="B8" t="str">
        <x:v>OTV Equity Spend</x:v>
      </x:c>
      <x:c r="C8" t="str">
        <x:v>TV</x:v>
      </x:c>
      <x:c r="D8" t="str">
        <x:v>OTV</x:v>
      </x:c>
      <x:c r="E8" t="str">
        <x:v>EQUITY</x:v>
      </x:c>
      <x:c r="F8" t="n">
        <x:v>520.931565</x:v>
      </x:c>
      <x:c r="G8" t="n">
        <x:v>0.35</x:v>
      </x:c>
      <x:c r="H8" t="n">
        <x:v>1.2</x:v>
      </x:c>
      <x:c r="I8" t="n">
        <x:v>1.275</x:v>
      </x:c>
      <x:c r="J8" t="n">
        <x:v>0.3</x:v>
      </x:c>
      <x:c r="K8" t="n">
        <x:v>1</x:v>
      </x:c>
      <x:c r="L8" t="n">
        <x:v>1.17072570821751</x:v>
      </x:c>
    </x:row>
    <x:row r="9">
      <x:c r="A9" t="str">
        <x:v>OTV Tactical TRPs</x:v>
      </x:c>
      <x:c r="B9" t="str">
        <x:v>OTV Tactical Spend</x:v>
      </x:c>
      <x:c r="C9" t="str">
        <x:v>TV</x:v>
      </x:c>
      <x:c r="D9" t="str">
        <x:v>OTV</x:v>
      </x:c>
      <x:c r="E9" t="str">
        <x:v>TACTICAL</x:v>
      </x:c>
      <x:c r="F9" t="n">
        <x:v>463.049606</x:v>
      </x:c>
      <x:c r="G9" t="n">
        <x:v>0.3</x:v>
      </x:c>
      <x:c r="H9" t="n">
        <x:v>1.3</x:v>
      </x:c>
      <x:c r="I9" t="n">
        <x:v>1.02</x:v>
      </x:c>
      <x:c r="J9" t="n">
        <x:v>0.3</x:v>
      </x:c>
      <x:c r="K9" t="n">
        <x:v>1</x:v>
      </x:c>
      <x:c r="L9" t="n">
        <x:v>1.06214586902095</x:v>
      </x:c>
    </x:row>
    <x:row r="10">
      <x:c r="A10" t="str">
        <x:v>PTV Equity TRPs</x:v>
      </x:c>
      <x:c r="B10" t="str">
        <x:v>PTV Equity Spend</x:v>
      </x:c>
      <x:c r="C10" t="str">
        <x:v>TV</x:v>
      </x:c>
      <x:c r="D10" t="str">
        <x:v>PTV</x:v>
      </x:c>
      <x:c r="E10" t="str">
        <x:v>EQUITY</x:v>
      </x:c>
      <x:c r="F10" t="n">
        <x:v>0.091924</x:v>
      </x:c>
      <x:c r="G10" t="n">
        <x:v>0.42</x:v>
      </x:c>
      <x:c r="H10" t="n">
        <x:v>1.2</x:v>
      </x:c>
      <x:c r="I10" t="n">
        <x:v>1.5</x:v>
      </x:c>
      <x:c r="J10" t="n">
        <x:v>0.3</x:v>
      </x:c>
      <x:c r="K10" t="n">
        <x:v>1</x:v>
      </x:c>
      <x:c r="L10" t="n">
        <x:v>1</x:v>
      </x:c>
    </x:row>
    <x:row r="11">
      <x:c r="A11" t="str">
        <x:v>PTV Tactical TRPs</x:v>
      </x:c>
      <x:c r="B11" t="str">
        <x:v>PTV Tactical Spend</x:v>
      </x:c>
      <x:c r="C11" t="str">
        <x:v>TV</x:v>
      </x:c>
      <x:c r="D11" t="str">
        <x:v>PTV</x:v>
      </x:c>
      <x:c r="E11" t="str">
        <x:v>TACTICAL</x:v>
      </x:c>
      <x:c r="F11" t="n">
        <x:v>0.643468</x:v>
      </x:c>
      <x:c r="G11" t="n">
        <x:v>0.22</x:v>
      </x:c>
      <x:c r="H11" t="n">
        <x:v>1.3</x:v>
      </x:c>
      <x:c r="I11" t="n">
        <x:v>1.3</x:v>
      </x:c>
      <x:c r="J11" t="n">
        <x:v>0.3</x:v>
      </x:c>
      <x:c r="K11" t="n">
        <x:v>1</x:v>
      </x:c>
      <x:c r="L11" t="n">
        <x:v>1.30690789473684</x:v>
      </x:c>
    </x:row>
    <x:row r="12">
      <x:c r="A12" t="str">
        <x:v>TIKTOK Equity Impressions</x:v>
      </x:c>
      <x:c r="B12" t="str">
        <x:v>TIKTOK Equity Spend</x:v>
      </x:c>
      <x:c r="C12" t="str">
        <x:v>DIGITAL</x:v>
      </x:c>
      <x:c r="D12" t="str">
        <x:v>TIKTOK</x:v>
      </x:c>
      <x:c r="E12" t="str">
        <x:v>EQUITY</x:v>
      </x:c>
      <x:c r="F12" t="n">
        <x:v>36.72</x:v>
      </x:c>
      <x:c r="G12" t="n">
        <x:v>0.4</x:v>
      </x:c>
      <x:c r="H12" t="n">
        <x:v>1.2</x:v>
      </x:c>
      <x:c r="I12" t="n">
        <x:v>1.5</x:v>
      </x:c>
      <x:c r="J12" t="n">
        <x:v>0.3</x:v>
      </x:c>
      <x:c r="K12" t="n">
        <x:v>1</x:v>
      </x:c>
      <x:c r="L12" t="n">
        <x:v>1.37534025095966</x:v>
      </x:c>
    </x:row>
    <x:row r="13">
      <x:c r="A13" t="str">
        <x:v>TIKTOK Tactical Impressions</x:v>
      </x:c>
      <x:c r="B13" t="str">
        <x:v>TIKTOK Tactical Spend</x:v>
      </x:c>
      <x:c r="C13" t="str">
        <x:v>DIGITAL</x:v>
      </x:c>
      <x:c r="D13" t="str">
        <x:v>TIKTOK</x:v>
      </x:c>
      <x:c r="E13" t="str">
        <x:v>TACTICAL</x:v>
      </x:c>
      <x:c r="F13" t="n">
        <x:v>16.32</x:v>
      </x:c>
      <x:c r="G13" t="n">
        <x:v>0.22</x:v>
      </x:c>
      <x:c r="H13" t="n">
        <x:v>1.2</x:v>
      </x:c>
      <x:c r="I13" t="n">
        <x:v>1.3</x:v>
      </x:c>
      <x:c r="J13" t="n">
        <x:v>0.3</x:v>
      </x:c>
      <x:c r="K13" t="n">
        <x:v>1</x:v>
      </x:c>
      <x:c r="L13" t="n">
        <x:v>1.25367017252967</x:v>
      </x:c>
    </x:row>
    <x:row r="14">
      <x:c r="A14" t="str">
        <x:v>YOUTUBE Equity Impressions</x:v>
      </x:c>
      <x:c r="B14" t="str">
        <x:v>YOUTUBE Equity Spend</x:v>
      </x:c>
      <x:c r="C14" t="str">
        <x:v>DIGITAL</x:v>
      </x:c>
      <x:c r="D14" t="str">
        <x:v>YOUTUBE</x:v>
      </x:c>
      <x:c r="E14" t="str">
        <x:v>EQUITY</x:v>
      </x:c>
      <x:c r="F14" t="n">
        <x:v>77.29254</x:v>
      </x:c>
      <x:c r="G14" t="n">
        <x:v>0.55</x:v>
      </x:c>
      <x:c r="H14" t="n">
        <x:v>1.15</x:v>
      </x:c>
      <x:c r="I14" t="n">
        <x:v>2.2</x:v>
      </x:c>
      <x:c r="J14" t="n">
        <x:v>0.3</x:v>
      </x:c>
      <x:c r="K14" t="n">
        <x:v>1</x:v>
      </x:c>
      <x:c r="L14" t="n">
        <x:v>1.52215457564702</x:v>
      </x:c>
    </x:row>
    <x:row r="15">
      <x:c r="A15" t="str">
        <x:v>YOUTUBE Tactical Impressions</x:v>
      </x:c>
      <x:c r="B15" t="str">
        <x:v>YOUTUBE Tactical Spend</x:v>
      </x:c>
      <x:c r="C15" t="str">
        <x:v>DIGITAL</x:v>
      </x:c>
      <x:c r="D15" t="str">
        <x:v>YOUTUBE</x:v>
      </x:c>
      <x:c r="E15" t="str">
        <x:v>TACTICAL</x:v>
      </x:c>
      <x:c r="F15" t="n">
        <x:v>15.02919</x:v>
      </x:c>
      <x:c r="G15" t="n">
        <x:v>0.23</x:v>
      </x:c>
      <x:c r="H15" t="n">
        <x:v>1.2</x:v>
      </x:c>
      <x:c r="I15" t="n">
        <x:v>1.3</x:v>
      </x:c>
      <x:c r="J15" t="n">
        <x:v>0.3</x:v>
      </x:c>
      <x:c r="K15" t="n">
        <x:v>1</x:v>
      </x:c>
      <x:c r="L15" t="n">
        <x:v>1.04387568922417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extra_vars</x:v>
      </x:c>
      <x:c r="B1" s="2" t="str">
        <x:v>classification</x:v>
      </x:c>
      <x:c r="C1" s="2" t="str">
        <x:v>due_to_classification</x:v>
      </x:c>
      <x:c r="D1" s="2" t="str">
        <x:v>ef_mu</x:v>
      </x:c>
      <x:c r="E1" s="2" t="str">
        <x:v>ef_sigma</x:v>
      </x:c>
      <x:c r="F1" s="2" t="str">
        <x:v>positivity_constraint</x:v>
      </x:c>
    </x:row>
    <x:row r="2">
      <x:c r="A2" t="str">
        <x:v>TRADE_TT_EXHIBICIONES</x:v>
      </x:c>
      <x:c r="B2" t="str">
        <x:v>TRADE</x:v>
      </x:c>
      <x:c r="C2" t="str">
        <x:v>TRADE_TT</x:v>
      </x:c>
      <x:c r="D2" t="str">
        <x:v>0|0|0</x:v>
      </x:c>
      <x:c r="E2" t="str">
        <x:v>0.7|1|1</x:v>
      </x:c>
      <x:c r="F2" t="n">
        <x:v>1</x:v>
      </x:c>
    </x:row>
    <x:row r="3">
      <x:c r="A3" t="str">
        <x:v>TRADE_MT_RITZ</x:v>
      </x:c>
      <x:c r="B3" t="str">
        <x:v>TRADE</x:v>
      </x:c>
      <x:c r="C3" t="str">
        <x:v>TRADE_MT</x:v>
      </x:c>
      <x:c r="D3" t="str">
        <x:v>0|0|0</x:v>
      </x:c>
      <x:c r="E3" t="str">
        <x:v>0.7|1|1</x:v>
      </x:c>
      <x:c r="F3" t="n">
        <x:v>1</x:v>
      </x:c>
    </x:row>
    <x:row r="4">
      <x:c r="A4" t="str">
        <x:v>TRADE_MT_MULTIMARCA</x:v>
      </x:c>
      <x:c r="B4" t="str">
        <x:v>TRADE</x:v>
      </x:c>
      <x:c r="C4" t="str">
        <x:v>TRADE_MT</x:v>
      </x:c>
      <x:c r="D4" t="str">
        <x:v>0|0|0</x:v>
      </x:c>
      <x:c r="E4" t="str">
        <x:v>0.5|0.8|0.8</x:v>
      </x:c>
      <x:c r="F4" t="n">
        <x:v>1</x:v>
      </x:c>
    </x:row>
    <x:row r="5">
      <x:c r="A5" t="str">
        <x:v>RITZ_WD_TT</x:v>
      </x:c>
      <x:c r="B5" t="str">
        <x:v>BASE</x:v>
      </x:c>
      <x:c r="C5" t="str">
        <x:v>WD_TT</x:v>
      </x:c>
      <x:c r="D5" t="str">
        <x:v>0|0|0</x:v>
      </x:c>
      <x:c r="E5" t="str">
        <x:v>1|1|1</x:v>
      </x:c>
      <x:c r="F5" t="n">
        <x:v>1</x:v>
      </x:c>
    </x:row>
    <x:row r="6">
      <x:c r="A6" t="str">
        <x:v>RITZ_WD_MT</x:v>
      </x:c>
      <x:c r="B6" t="str">
        <x:v>BASE</x:v>
      </x:c>
      <x:c r="C6" t="str">
        <x:v>WD_MT</x:v>
      </x:c>
      <x:c r="D6" t="str">
        <x:v>0|0|0</x:v>
      </x:c>
      <x:c r="E6" t="str">
        <x:v>1|1|1</x:v>
      </x:c>
      <x:c r="F6" t="n">
        <x:v>1</x:v>
      </x:c>
    </x:row>
    <x:row r="7">
      <x:c r="A7" t="str">
        <x:v>RITZ_WD_DISCOUNTERS</x:v>
      </x:c>
      <x:c r="B7" t="str">
        <x:v>BASE</x:v>
      </x:c>
      <x:c r="C7" t="str">
        <x:v>WD_DSC</x:v>
      </x:c>
      <x:c r="D7" t="str">
        <x:v>0|0|0</x:v>
      </x:c>
      <x:c r="E7" t="str">
        <x:v>1|1|1</x:v>
      </x:c>
      <x:c r="F7" t="n">
        <x:v>1</x:v>
      </x:c>
    </x:row>
    <x:row r="8">
      <x:c r="A8" t="str">
        <x:v>RITZ_PRICE_IDX_SAL_TT</x:v>
      </x:c>
      <x:c r="B8" t="str">
        <x:v>BASE</x:v>
      </x:c>
      <x:c r="C8" t="str">
        <x:v>PRICE IDX_TT</x:v>
      </x:c>
      <x:c r="D8" t="str">
        <x:v>0|0|0</x:v>
      </x:c>
      <x:c r="E8" t="str">
        <x:v>1|1|1</x:v>
      </x:c>
      <x:c r="F8" t="n">
        <x:v>0</x:v>
      </x:c>
    </x:row>
    <x:row r="9">
      <x:c r="A9" t="str">
        <x:v>RITZ_PRICE_IDX_SAL_MT</x:v>
      </x:c>
      <x:c r="B9" t="str">
        <x:v>BASE</x:v>
      </x:c>
      <x:c r="C9" t="str">
        <x:v>PRICE IDX_MT</x:v>
      </x:c>
      <x:c r="D9" t="str">
        <x:v>0|0|0</x:v>
      </x:c>
      <x:c r="E9" t="str">
        <x:v>1|1|1</x:v>
      </x:c>
      <x:c r="F9" t="n">
        <x:v>0</x:v>
      </x:c>
    </x:row>
    <x:row r="10">
      <x:c r="A10" t="str">
        <x:v>RITZ_PRICE_IDX_SAL_DISCOUNTERS</x:v>
      </x:c>
      <x:c r="B10" t="str">
        <x:v>BASE</x:v>
      </x:c>
      <x:c r="C10" t="str">
        <x:v>PRICE IDX_DSC</x:v>
      </x:c>
      <x:c r="D10" t="str">
        <x:v>0|0|0</x:v>
      </x:c>
      <x:c r="E10" t="str">
        <x:v>1|1|1</x:v>
      </x:c>
      <x:c r="F10" t="n">
        <x:v>0</x:v>
      </x:c>
    </x:row>
    <x:row r="11">
      <x:c r="A11" t="str">
        <x:v>UNEMPLOYMENT</x:v>
      </x:c>
      <x:c r="B11" t="str">
        <x:v>BASE</x:v>
      </x:c>
      <x:c r="C11" t="str">
        <x:v>UNEMPLOYMENT</x:v>
      </x:c>
      <x:c r="D11" t="str">
        <x:v>0|0|0</x:v>
      </x:c>
      <x:c r="E11" t="str">
        <x:v>1|1|1</x:v>
      </x:c>
      <x:c r="F11" t="n">
        <x:v>0</x:v>
      </x:c>
    </x:row>
    <x:row r="12">
      <x:c r="A12" t="str">
        <x:v>RITZ_TDPS_REACH_TT</x:v>
      </x:c>
      <x:c r="B12" t="str">
        <x:v>BASE</x:v>
      </x:c>
      <x:c r="C12" t="str">
        <x:v>TDPS_TT</x:v>
      </x:c>
      <x:c r="D12" t="str">
        <x:v>0|0|0</x:v>
      </x:c>
      <x:c r="E12" t="str">
        <x:v>1|1|1</x:v>
      </x:c>
      <x:c r="F12" t="n">
        <x:v>1</x:v>
      </x:c>
    </x:row>
    <x:row r="13">
      <x:c r="A13" t="str">
        <x:v>RITZ_TDPS_REACH_MT</x:v>
      </x:c>
      <x:c r="B13" t="str">
        <x:v>BASE</x:v>
      </x:c>
      <x:c r="C13" t="str">
        <x:v>TDPS_MT</x:v>
      </x:c>
      <x:c r="D13" t="str">
        <x:v>0|0|0</x:v>
      </x:c>
      <x:c r="E13" t="str">
        <x:v>1|1|1</x:v>
      </x:c>
      <x:c r="F13" t="n">
        <x:v>1</x:v>
      </x:c>
    </x:row>
    <x:row r="14">
      <x:c r="A14" t="str">
        <x:v>RITZ_TDPS_REACH_DISCOUNTERS</x:v>
      </x:c>
      <x:c r="B14" t="str">
        <x:v>BASE</x:v>
      </x:c>
      <x:c r="C14" t="str">
        <x:v>TDPS_DSC</x:v>
      </x:c>
      <x:c r="D14" t="str">
        <x:v>0|0|0</x:v>
      </x:c>
      <x:c r="E14" t="str">
        <x:v>1|1|1</x:v>
      </x:c>
      <x:c r="F14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year</x:v>
      </x:c>
      <x:c r="B1" s="2" t="str">
        <x:v>price</x:v>
      </x:c>
      <x:c r="C1" s="2" t="str">
        <x:v>coverage</x:v>
      </x:c>
    </x:row>
    <x:row r="2">
      <x:c r="A2" t="n">
        <x:v>2022</x:v>
      </x:c>
      <x:c r="B2" t="n">
        <x:v>16873.6381348713</x:v>
      </x:c>
      <x:c r="C2" t="n">
        <x:v>0.74</x:v>
      </x:c>
    </x:row>
    <x:row r="3">
      <x:c r="A3" t="n">
        <x:v>2023</x:v>
      </x:c>
      <x:c r="B3" t="n">
        <x:v>19357.4961717207</x:v>
      </x:c>
      <x:c r="C3" t="n">
        <x:v>0.74</x:v>
      </x:c>
    </x:row>
    <x:row r="4">
      <x:c r="A4" t="n">
        <x:v>2024</x:v>
      </x:c>
      <x:c r="B4" t="n">
        <x:v>21152.2233272934</x:v>
      </x:c>
      <x:c r="C4" t="n">
        <x:v>0.74</x:v>
      </x:c>
    </x:row>
    <x:row r="5">
      <x:c r="A5" t="n">
        <x:v>2025</x:v>
      </x:c>
      <x:c r="B5" t="n">
        <x:v>21049</x:v>
      </x:c>
      <x:c r="C5" t="n">
        <x:v>0.73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2" t="str">
        <x:v>Medio</x:v>
      </x:c>
      <x:c r="B1" s="2" t="str">
        <x:v>Campaña</x:v>
      </x:c>
      <x:c r="C1" s="2" t="str">
        <x:v>Prior anterior</x:v>
      </x:c>
      <x:c r="D1" s="2" t="str">
        <x:v>Prior propuesto</x:v>
      </x:c>
      <x:c r="E1" s="2" t="str">
        <x:v>Estado</x:v>
      </x:c>
    </x:row>
    <x:row r="2">
      <x:c r="A2" t="str">
        <x:v>META</x:v>
      </x:c>
      <x:c r="B2" t="str">
        <x:v>EQUITY</x:v>
      </x:c>
      <x:c r="C2" t="n">
        <x:v>25.92</x:v>
      </x:c>
      <x:c r="D2" t="n">
        <x:v>12.96</x:v>
      </x:c>
      <x:c r="E2" t="str">
        <x:v>Prueba de sensibilidad, no validada</x:v>
      </x:c>
    </x:row>
    <x:row r="3">
      <x:c r="A3" t="str">
        <x:v>META</x:v>
      </x:c>
      <x:c r="B3" t="str">
        <x:v>TACTICAL</x:v>
      </x:c>
      <x:c r="C3" t="n">
        <x:v>248.832</x:v>
      </x:c>
      <x:c r="D3" t="n">
        <x:v>124.416</x:v>
      </x:c>
      <x:c r="E3" t="str">
        <x:v>Prueba de sensibilidad, no validada</x:v>
      </x:c>
    </x:row>
    <x:row r="4">
      <x:c r="A4" t="str">
        <x:v>OTV</x:v>
      </x:c>
      <x:c r="B4" t="str">
        <x:v>EQUITY</x:v>
      </x:c>
      <x:c r="C4" t="n">
        <x:v>595.35036</x:v>
      </x:c>
      <x:c r="D4" t="n">
        <x:v>297.67518</x:v>
      </x:c>
      <x:c r="E4" t="str">
        <x:v>Prueba de sensibilidad, no validada</x:v>
      </x:c>
    </x:row>
    <x:row r="5">
      <x:c r="A5" t="str">
        <x:v>OTV</x:v>
      </x:c>
      <x:c r="B5" t="str">
        <x:v>TACTICAL</x:v>
      </x:c>
      <x:c r="C5" t="n">
        <x:v>529.19955</x:v>
      </x:c>
      <x:c r="D5" t="n">
        <x:v>264.599775</x:v>
      </x:c>
      <x:c r="E5" t="str">
        <x:v>Prueba de sensibilidad, no validada</x:v>
      </x:c>
    </x:row>
    <x:row r="7">
      <x:c r="A7" t="str">
        <x:v>META objetivo</x:v>
      </x:c>
      <x:c r="B7" t="n">
        <x:v>1.12</x:v>
      </x:c>
    </x:row>
    <x:row r="8">
      <x:c r="A8" t="str">
        <x:v>OTV objetivo</x:v>
      </x:c>
      <x:c r="B8" t="n">
        <x:v>0.98</x:v>
      </x:c>
    </x:row>
    <x:row r="9">
      <x:c r="A9" t="str">
        <x:v>Notebook</x:v>
      </x:c>
      <x:c r="B9" t="str">
        <x:v>Sin modificaciones</x:v>
      </x:c>
    </x:row>
    <x:row r="10">
      <x:c r="A10" t="str">
        <x:v>Validación</x:v>
      </x:c>
      <x:c r="B10" t="str">
        <x:v>Reentrenamiento pendiente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68" hidden="0" customWidth="1"/>
  </x:cols>
  <x:sheetData>
    <x:row r="1">
      <x:c r="A1" s="6" t="str">
        <x:v>Variable</x:v>
      </x:c>
      <x:c r="B1" s="6" t="str">
        <x:v>ROI actual</x:v>
      </x:c>
      <x:c r="C1" s="6" t="str">
        <x:v>Referente</x:v>
      </x:c>
      <x:c r="D1" s="6" t="str">
        <x:v>Brecha</x:v>
      </x:c>
      <x:c r="E1" s="6" t="str">
        <x:v>Observación</x:v>
      </x:c>
    </x:row>
    <x:row r="2">
      <x:c r="A2" t="str">
        <x:v>GOOGLE</x:v>
      </x:c>
      <x:c r="B2" s="7" t="n">
        <x:v>1.57</x:v>
      </x:c>
      <x:c r="C2" s="7" t="n">
        <x:v>0.73</x:v>
      </x:c>
      <x:c r="D2" s="7" t="n">
        <x:f>C2-B2</x:f>
        <x:v>-0.8400000000000001</x:v>
      </x:c>
      <x:c r="E2" t="str">
        <x:v>Exceso de ROI</x:v>
      </x:c>
    </x:row>
    <x:row r="3">
      <x:c r="A3" t="str">
        <x:v>META</x:v>
      </x:c>
      <x:c r="B3" s="7" t="n">
        <x:v>0.42</x:v>
      </x:c>
      <x:c r="C3" s="7" t="n">
        <x:v>1.12</x:v>
      </x:c>
      <x:c r="D3" s="7" t="n">
        <x:f>C3-B3</x:f>
        <x:v>0.7000000000000002</x:v>
      </x:c>
      <x:c r="E3" t="str">
        <x:v>Prior experimental +50%</x:v>
      </x:c>
    </x:row>
    <x:row r="4">
      <x:c r="A4" t="str">
        <x:v>OTV</x:v>
      </x:c>
      <x:c r="B4" s="7" t="n">
        <x:v>0.23</x:v>
      </x:c>
      <x:c r="C4" s="7" t="n">
        <x:v>0.98</x:v>
      </x:c>
      <x:c r="D4" s="7" t="n">
        <x:f>C4-B4</x:f>
        <x:v>0.75</x:v>
      </x:c>
      <x:c r="E4" t="str">
        <x:v>Prior experimental +75%</x:v>
      </x:c>
    </x:row>
    <x:row r="5">
      <x:c r="A5" t="str">
        <x:v>PTV</x:v>
      </x:c>
      <x:c r="B5" s="7" t="n">
        <x:v>1.11</x:v>
      </x:c>
      <x:c r="C5" s="7" t="n">
        <x:v>1.06</x:v>
      </x:c>
      <x:c r="D5" s="7" t="n">
        <x:f>C5-B5</x:f>
        <x:v>-0.050000000000000044</x:v>
      </x:c>
      <x:c r="E5" t="str">
        <x:v>Sin cambio</x:v>
      </x:c>
    </x:row>
    <x:row r="6">
      <x:c r="A6" t="str">
        <x:v>TIKTOK</x:v>
      </x:c>
      <x:c r="B6" s="7" t="n">
        <x:v>0.57</x:v>
      </x:c>
      <x:c r="C6" s="7" t="n">
        <x:v>1.18</x:v>
      </x:c>
      <x:c r="D6" s="7" t="n">
        <x:f>C6-B6</x:f>
        <x:v>0.61</x:v>
      </x:c>
      <x:c r="E6" t="str">
        <x:v>Sin cambio</x:v>
      </x:c>
    </x:row>
    <x:row r="7">
      <x:c r="A7" t="str">
        <x:v>YOUTUBE</x:v>
      </x:c>
      <x:c r="B7" s="7" t="n">
        <x:v>0.65</x:v>
      </x:c>
      <x:c r="C7" s="7" t="n">
        <x:v>1.07</x:v>
      </x:c>
      <x:c r="D7" s="7" t="n">
        <x:f>C7-B7</x:f>
        <x:v>0.42000000000000004</x:v>
      </x:c>
      <x:c r="E7" t="str">
        <x:v>Sin cambio</x:v>
      </x:c>
    </x:row>
    <x:row r="10">
      <x:c r="A10" s="6" t="str">
        <x:v>Variable de medios</x:v>
      </x:c>
      <x:c r="B10" s="6" t="str">
        <x:v>Prior anterior</x:v>
      </x:c>
      <x:c r="C10" s="6" t="str">
        <x:v>Prior propuesto</x:v>
      </x:c>
      <x:c r="D10" s="6" t="str">
        <x:v>Factor</x:v>
      </x:c>
      <x:c r="E10" s="6" t="str">
        <x:v>Nota</x:v>
      </x:c>
    </x:row>
    <x:row r="11">
      <x:c r="A11" t="str">
        <x:v>META Equity Impressions</x:v>
      </x:c>
      <x:c r="B11" t="n">
        <x:v>12.96</x:v>
      </x:c>
      <x:c r="C11" t="n">
        <x:v>19.44</x:v>
      </x:c>
      <x:c r="D11" t="n">
        <x:v>1.5</x:v>
      </x:c>
      <x:c r="E11" t="str">
        <x:v>Ensayo no validado; saturación recalculada en notebook</x:v>
      </x:c>
    </x:row>
    <x:row r="12">
      <x:c r="A12" t="str">
        <x:v>META Tactical Impressions</x:v>
      </x:c>
      <x:c r="B12" t="n">
        <x:v>124.416</x:v>
      </x:c>
      <x:c r="C12" t="n">
        <x:v>186.624</x:v>
      </x:c>
      <x:c r="D12" t="n">
        <x:v>1.5</x:v>
      </x:c>
      <x:c r="E12" t="str">
        <x:v>Ensayo no validado; saturación recalculada en notebook</x:v>
      </x:c>
    </x:row>
    <x:row r="13">
      <x:c r="A13" t="str">
        <x:v>OTV Equity TRPs</x:v>
      </x:c>
      <x:c r="B13" t="n">
        <x:v>297.67518</x:v>
      </x:c>
      <x:c r="C13" t="n">
        <x:v>520.931565</x:v>
      </x:c>
      <x:c r="D13" t="n">
        <x:v>1.75</x:v>
      </x:c>
      <x:c r="E13" t="str">
        <x:v>Ensayo no validado; saturación recalculada en notebook</x:v>
      </x:c>
    </x:row>
    <x:row r="14">
      <x:c r="A14" t="str">
        <x:v>OTV Tactical TRPs</x:v>
      </x:c>
      <x:c r="B14" t="n">
        <x:v>264.599775</x:v>
      </x:c>
      <x:c r="C14" t="n">
        <x:v>463.049606</x:v>
      </x:c>
      <x:c r="D14" t="n">
        <x:v>1.75</x:v>
      </x:c>
      <x:c r="E14" t="str">
        <x:v>Ensayo no validado; saturación recalculada en notebook</x:v>
      </x:c>
    </x:row>
    <x:row r="17">
      <x:c r="A17" t="str">
        <x:v>Advertencia</x:v>
      </x:c>
      <x:c r="B17" t="str">
        <x:v>Los valores de ROI no han sido validados mediante reentrenamiento</x:v>
      </x:c>
    </x:row>
    <x:row r="18">
      <x:c r="A18" t="str">
        <x:v>Saturación</x:v>
      </x:c>
      <x:c r="B18" t="str">
        <x:v>El notebook recalcula s_slope y k_half_saturation usando referencias 2025</x:v>
      </x:c>
    </x:row>
    <x:row r="19">
      <x:c r="A19" t="str">
        <x:v>OTV 2025</x:v>
      </x:c>
      <x:c r="B19" t="str">
        <x:v>ROI Equity 100,60: revisar inversión y contribuciones</x:v>
      </x:c>
    </x:row>
    <x:row r="20">
      <x:c r="A20" t="str">
        <x:v>Uso</x:v>
      </x:c>
      <x:c r="B20" t="str">
        <x:v>Ejecutar con semilla fija y contrastar ROI, R², MAPE y estabilidad</x:v>
      </x:c>
    </x:row>
  </x:sheetData>
  <x:pageMargins left="0.7" right="0.7" top="0.75" bottom="0.75" header="0.3" footer="0.3"/>
</x:worksheet>
</file>